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1580" windowHeight="5520"/>
  </bookViews>
  <sheets>
    <sheet name="A.18" sheetId="1" r:id="rId1"/>
  </sheets>
  <calcPr calcId="145621" fullCalcOnLoad="1"/>
</workbook>
</file>

<file path=xl/sharedStrings.xml><?xml version="1.0" encoding="utf-8"?>
<sst xmlns="http://schemas.openxmlformats.org/spreadsheetml/2006/main" count="1642" uniqueCount="354">
  <si>
    <t xml:space="preserve">Interno </t>
  </si>
  <si>
    <t>Externo</t>
  </si>
  <si>
    <t>Lugar de dictado</t>
  </si>
  <si>
    <t>Estado actual</t>
  </si>
  <si>
    <t>Tipo de capacitación</t>
  </si>
  <si>
    <t>Inicio de producción</t>
  </si>
  <si>
    <t>Instructor/
facilitador</t>
  </si>
  <si>
    <t>Fecha planificada/
periodo</t>
  </si>
  <si>
    <t>Destinatarios/
Sector</t>
  </si>
  <si>
    <t>Observaciones</t>
  </si>
  <si>
    <t>Plan de Evacuación</t>
  </si>
  <si>
    <t>x</t>
  </si>
  <si>
    <t>Todo el
personal</t>
  </si>
  <si>
    <t>Silver Industrial</t>
  </si>
  <si>
    <t>Realizada</t>
  </si>
  <si>
    <t>Fecha</t>
  </si>
  <si>
    <t>Maximiliano
Pardo</t>
  </si>
  <si>
    <t>Sikorski Jorge</t>
  </si>
  <si>
    <t>Gestión de Calidad   Norma ISO 9001</t>
  </si>
  <si>
    <t>Ruben Kindifora</t>
  </si>
  <si>
    <t>Trazabilidad/Control de producto no conforme</t>
  </si>
  <si>
    <t xml:space="preserve">PROGRAMA DE CAPACITACION  2012 </t>
  </si>
  <si>
    <t xml:space="preserve">PROGRAMA DE CAPACITACION  20XX </t>
  </si>
  <si>
    <t>AST - Moldes</t>
  </si>
  <si>
    <t>Liquidación de Impuestos</t>
  </si>
  <si>
    <t>UBA</t>
  </si>
  <si>
    <t>Marcelo Ramirez</t>
  </si>
  <si>
    <t>31/07/12 al 
01/08/12</t>
  </si>
  <si>
    <t>Haitian</t>
  </si>
  <si>
    <t>Cambiadores de molde</t>
  </si>
  <si>
    <t>Programación de Maquinas</t>
  </si>
  <si>
    <t>Cambios de Moldes</t>
  </si>
  <si>
    <t>Pendiente</t>
  </si>
  <si>
    <t>Higiene y Seguridad</t>
  </si>
  <si>
    <t>Eficiencia en Cambios de Moldes</t>
  </si>
  <si>
    <t xml:space="preserve">PROGRAMA DE CAPACITACION  2013 </t>
  </si>
  <si>
    <t>Mantenimiento</t>
  </si>
  <si>
    <t>Uso de autoelevador</t>
  </si>
  <si>
    <t>Seguridad en cambios de moldes</t>
  </si>
  <si>
    <t>Todo el personal operativo</t>
  </si>
  <si>
    <t>Cambiadores de molde(3,6,9,15,24,28)</t>
  </si>
  <si>
    <t>Calidad de Productos Medix</t>
  </si>
  <si>
    <t>OPERARIO</t>
  </si>
  <si>
    <t>Aranguren Diego Marcelo</t>
  </si>
  <si>
    <t>Santillán Daniel Alberto</t>
  </si>
  <si>
    <t>Cardozo Walter Fabián</t>
  </si>
  <si>
    <t>Ferreyra Fernando Omar</t>
  </si>
  <si>
    <t>Guillermo Ricardo Maximiliano</t>
  </si>
  <si>
    <t>Pulido Luis Osvaldo</t>
  </si>
  <si>
    <t>Gil Gastón Ariel</t>
  </si>
  <si>
    <t>Altamirano Juan José</t>
  </si>
  <si>
    <t>Navarro Hugo Rodolfo</t>
  </si>
  <si>
    <t>Rodríguez René Ariel</t>
  </si>
  <si>
    <t>Iszczuk Gabriel Adrián</t>
  </si>
  <si>
    <t>Luna Marcelo Javier</t>
  </si>
  <si>
    <t>Heredia Miguel Angel</t>
  </si>
  <si>
    <t>Sanchez Walter Fabian</t>
  </si>
  <si>
    <t>Rondinella Cristian Hugo</t>
  </si>
  <si>
    <t>Martinez Paulo Nicolas</t>
  </si>
  <si>
    <t>Ortigoza Ramon</t>
  </si>
  <si>
    <t>Almirón Ricardo Damián</t>
  </si>
  <si>
    <t>Benitez Hugo Abel</t>
  </si>
  <si>
    <t>Yorio Walter Fabian</t>
  </si>
  <si>
    <t>Irungaray Christian Marcelo</t>
  </si>
  <si>
    <t>Ramirez Ruben Dario</t>
  </si>
  <si>
    <t>Sobrado Walter Rodrigo</t>
  </si>
  <si>
    <t>Berardi Matias Sebastian</t>
  </si>
  <si>
    <t>Gorosito Juan Jose</t>
  </si>
  <si>
    <t>Ramirez Cesar Ruben</t>
  </si>
  <si>
    <t>Roldan Jorge Miguel</t>
  </si>
  <si>
    <t xml:space="preserve">Arnaudin Ulises </t>
  </si>
  <si>
    <t>Sanchez Mario</t>
  </si>
  <si>
    <t>Graniera Pablo Sebastian</t>
  </si>
  <si>
    <t>Macen Miguel</t>
  </si>
  <si>
    <t>Delgado Nelson Gaston</t>
  </si>
  <si>
    <t>Benjamin Jimenez</t>
  </si>
  <si>
    <t>Nº Legajo</t>
  </si>
  <si>
    <t>Personal Mensuales</t>
  </si>
  <si>
    <t>Pardo Maximiliano</t>
  </si>
  <si>
    <t>Sosa Sebastian</t>
  </si>
  <si>
    <t>Ramirez Marcelo</t>
  </si>
  <si>
    <t>Sikorski Jorge Guillermo</t>
  </si>
  <si>
    <t>Higiene y
seguridad</t>
  </si>
  <si>
    <t>SECADO DE MATERIALES</t>
  </si>
  <si>
    <t>Programadas</t>
  </si>
  <si>
    <t>Brindadas</t>
  </si>
  <si>
    <t>% cumplimiento</t>
  </si>
  <si>
    <t>Control de recepción de materias primas</t>
  </si>
  <si>
    <t>-</t>
  </si>
  <si>
    <t>Politica de Calidad y objetivos</t>
  </si>
  <si>
    <t>Trazabilidad/Registros de calidad</t>
  </si>
  <si>
    <t>Inicio de producción /producto NC</t>
  </si>
  <si>
    <t>Nº</t>
  </si>
  <si>
    <t>TOTAL</t>
  </si>
  <si>
    <t>Personal de depósitos MP (9,10,20,40)</t>
  </si>
  <si>
    <t>9,10,20,21,40</t>
  </si>
  <si>
    <t xml:space="preserve">Int </t>
  </si>
  <si>
    <t>Ext</t>
  </si>
  <si>
    <t>Fernando
Nieto</t>
  </si>
  <si>
    <t xml:space="preserve"> Fernando
Nieto</t>
  </si>
  <si>
    <t>Uso de amoladora</t>
  </si>
  <si>
    <t>Uso de escaleras</t>
  </si>
  <si>
    <t>Se reprograma para el 2014</t>
  </si>
  <si>
    <t>PROGRAMA DE CAPACITACION  2014</t>
  </si>
  <si>
    <t>Marzo</t>
  </si>
  <si>
    <t>Todo el personal</t>
  </si>
  <si>
    <t>Simulacro de evacuación</t>
  </si>
  <si>
    <t>Programación de Robot</t>
  </si>
  <si>
    <t>Proveedor</t>
  </si>
  <si>
    <t>se reprograma</t>
  </si>
  <si>
    <t>Escalante Jonatan</t>
  </si>
  <si>
    <t>Martorelli Carlos</t>
  </si>
  <si>
    <t>5S</t>
  </si>
  <si>
    <t>Operación Robot</t>
  </si>
  <si>
    <t>Programación robot</t>
  </si>
  <si>
    <t>10,9,20,40,66,3,34,28,15,119,1</t>
  </si>
  <si>
    <t>Responsables de producción y de gestión de calidad</t>
  </si>
  <si>
    <t>Eficiencia en cambios de moldes</t>
  </si>
  <si>
    <t>Responsable de control de calidad</t>
  </si>
  <si>
    <t>Septiembre</t>
  </si>
  <si>
    <t>Octubre</t>
  </si>
  <si>
    <t>Noviembre</t>
  </si>
  <si>
    <t>Simulacro de evacuación Riesgo eléctrico y acustico</t>
  </si>
  <si>
    <t>Recepción de MP, trazabilidad</t>
  </si>
  <si>
    <t xml:space="preserve">Personal de recepción </t>
  </si>
  <si>
    <t>Recepción de Mp</t>
  </si>
  <si>
    <t>Ajuste de seguro de molde</t>
  </si>
  <si>
    <t>Ajuste seguro de molde</t>
  </si>
  <si>
    <t>26/02/2014
27/02/2014</t>
  </si>
  <si>
    <t>Regulación de manipuladores</t>
  </si>
  <si>
    <t>Maximiliano Pardo</t>
  </si>
  <si>
    <t>Uso seguro de escaleras</t>
  </si>
  <si>
    <t>06/10/14
08/10/14
17/10/10</t>
  </si>
  <si>
    <t>Int</t>
  </si>
  <si>
    <t xml:space="preserve">Silver </t>
  </si>
  <si>
    <t>PROGRAMA DE CAPACITACION  2015</t>
  </si>
  <si>
    <t xml:space="preserve">Uso de herramientas manuales </t>
  </si>
  <si>
    <t>Condiciones y actos inseguros</t>
  </si>
  <si>
    <t xml:space="preserve"> Levantamiento manual de carga</t>
  </si>
  <si>
    <t xml:space="preserve">Contacto con elementos calientes </t>
  </si>
  <si>
    <t>Mayo</t>
  </si>
  <si>
    <t>Julio</t>
  </si>
  <si>
    <t>Cumplida</t>
  </si>
  <si>
    <t>Muzzo Juan Manuel</t>
  </si>
  <si>
    <t>Muñoz Mariano</t>
  </si>
  <si>
    <t>Flores Leo Damian</t>
  </si>
  <si>
    <t>Oviedo Agustin</t>
  </si>
  <si>
    <t>Contacto con elementos calientes</t>
  </si>
  <si>
    <t>Levantamiento manual de carga</t>
  </si>
  <si>
    <t>Personal de producción</t>
  </si>
  <si>
    <t>Personal de depósito</t>
  </si>
  <si>
    <t>Blanco Sebastian Fernando</t>
  </si>
  <si>
    <t>PROGRAMADAS</t>
  </si>
  <si>
    <t>BRINDADAS</t>
  </si>
  <si>
    <t>CUPLIMIENTO</t>
  </si>
  <si>
    <t>Cambios de moldes y Regulación de manipuladores</t>
  </si>
  <si>
    <t>Manejo de autoelevador</t>
  </si>
  <si>
    <t>Regulación de manipuladores y cambios de moldes</t>
  </si>
  <si>
    <t>Silver 
Industrial</t>
  </si>
  <si>
    <t>NO CUMPLIDA</t>
  </si>
  <si>
    <t>Fernando Nieto</t>
  </si>
  <si>
    <t>PROGRAMA DE CAPACITACION  2016</t>
  </si>
  <si>
    <t>Alejandro desbat</t>
  </si>
  <si>
    <t>Manejo seguro de autoelevadores</t>
  </si>
  <si>
    <t>Recepción de MP</t>
  </si>
  <si>
    <t>Personal de depósitos</t>
  </si>
  <si>
    <t>Ramón Ortigoza /
Sikorski Jorge</t>
  </si>
  <si>
    <t>Presiones de proceso, ajuste de cierre, seguro de molde</t>
  </si>
  <si>
    <t>Verificación de elementos de seguridad en  Autoelevador</t>
  </si>
  <si>
    <t>Puesta a Punto de Robots</t>
  </si>
  <si>
    <t>BPM, 5S, Politica de calidad, Indices Apéndice C, Generación Taras, Toma y entrega de turno, producto no conforme.</t>
  </si>
  <si>
    <t>Eficiencia en Cambios de Moldes, Llenado de Planillas de set up.Estado de máquina al finalizar tareas. Orden de herramientas.</t>
  </si>
  <si>
    <t>Simulacro y plan de evacuación</t>
  </si>
  <si>
    <t>Gestión de Residuos. Reducción de Residuos. Reciclado de cartones</t>
  </si>
  <si>
    <t>Proceso seguro de Purgas de Máquinas (Ver AST)</t>
  </si>
  <si>
    <t>5S en cambios de moldes.Orden de Herramientas.</t>
  </si>
  <si>
    <t>Identificación de materias primas</t>
  </si>
  <si>
    <t>Capacitar en levantamiento de pesos y uso de faja lumbar</t>
  </si>
  <si>
    <t>Contaminación cruzada, cerrado de bolsas de scrap, identificación de scrap</t>
  </si>
  <si>
    <t>Taras: Identificación y disposición de las mismas al finalizar producción</t>
  </si>
  <si>
    <t>BPM</t>
  </si>
  <si>
    <t>Control de temperaturas de proceso</t>
  </si>
  <si>
    <t>Jorge Sikorski</t>
  </si>
  <si>
    <t>Control e identificación de scrap y molienda</t>
  </si>
  <si>
    <t>Cambios de moldes. Registros asociados</t>
  </si>
  <si>
    <t>PROGRAMA DE CAPACITACION  2017</t>
  </si>
  <si>
    <t>KANBAN</t>
  </si>
  <si>
    <t>Protección de moldes</t>
  </si>
  <si>
    <t>Cambiadores de moldes</t>
  </si>
  <si>
    <t>Actualización ISO 9001-2015</t>
  </si>
  <si>
    <t>Agosto</t>
  </si>
  <si>
    <t>Responsable SGC</t>
  </si>
  <si>
    <t>---</t>
  </si>
  <si>
    <t>UTN Pachetco</t>
  </si>
  <si>
    <t>Politica de Calidad, objetivos de la calidad</t>
  </si>
  <si>
    <t>Instrumentos de medición</t>
  </si>
  <si>
    <t>UTN Pacheco</t>
  </si>
  <si>
    <t>Política de Calidad, objetivos de la calidad</t>
  </si>
  <si>
    <t>PROGRAMA DE CAPACITACION  20..</t>
  </si>
  <si>
    <t>Llenado de planillas de Setup: Ej. pesos de productos</t>
  </si>
  <si>
    <t>Alejandro Desbat</t>
  </si>
  <si>
    <t>Junio</t>
  </si>
  <si>
    <t>Visentin Juan</t>
  </si>
  <si>
    <t>Abril</t>
  </si>
  <si>
    <t>Preparadores de moldes</t>
  </si>
  <si>
    <t>Gestión de calidad</t>
  </si>
  <si>
    <t>Completado</t>
  </si>
  <si>
    <t>Operarios en genreral</t>
  </si>
  <si>
    <t>Actualización auditor interno iso 9001:2015</t>
  </si>
  <si>
    <t>Accidentes e incidentes, acciones y condiciones inseguras</t>
  </si>
  <si>
    <t>Uso herramientas manuales</t>
  </si>
  <si>
    <t>PROGRAMA DE CAPACITACION  2018</t>
  </si>
  <si>
    <t>Iram</t>
  </si>
  <si>
    <t>Intituto IRAM</t>
  </si>
  <si>
    <t>14/08/2018  15/08/2018</t>
  </si>
  <si>
    <t>Cierre de producción/Stock</t>
  </si>
  <si>
    <t>Silver Indutrial</t>
  </si>
  <si>
    <t>Se ajuta curso para los accidentes e incidentes más usuales y/o probables en la fábrica</t>
  </si>
  <si>
    <t>Registro de moldes</t>
  </si>
  <si>
    <t>Se determina temática, luego se buscará ofera.</t>
  </si>
  <si>
    <t>Medición con calibre</t>
  </si>
  <si>
    <t>Juan José Visentin</t>
  </si>
  <si>
    <t>Personal de producción y control  de calidad</t>
  </si>
  <si>
    <t>PROGRAMA DE CAPACITACION  2019</t>
  </si>
  <si>
    <t>Manejo seguro de autoelevador</t>
  </si>
  <si>
    <t>Operardores de autoelevador</t>
  </si>
  <si>
    <t>Inducción a contol de calidad</t>
  </si>
  <si>
    <t>Pablo Graniera, OP118</t>
  </si>
  <si>
    <t>Inducción con el fin de capacitar a operario para que pueda cubrir a Control de Calidad en caso de vacaciones o faltas.</t>
  </si>
  <si>
    <t>Capacitación teórica en Oficina de Gestión de calidad, semana de trabajo tutelado en puesto de control de calidad de Silver Industrial.</t>
  </si>
  <si>
    <t>Estadística orientada a la mejora de calidad</t>
  </si>
  <si>
    <t>Se reprogama para el 2019 por cronograma de producciçon</t>
  </si>
  <si>
    <t>UTN -FRR</t>
  </si>
  <si>
    <t>Producción</t>
  </si>
  <si>
    <t>Febrero</t>
  </si>
  <si>
    <t>5's: Almacenaje y manipulación de bolsas</t>
  </si>
  <si>
    <t>Levantamiento maual de cargas</t>
  </si>
  <si>
    <t>Simulacro de incendio</t>
  </si>
  <si>
    <t>Ver OM114 para efectividad de capacitación</t>
  </si>
  <si>
    <t>Julio-Ago</t>
  </si>
  <si>
    <t>Virtual</t>
  </si>
  <si>
    <t>Curso de un mes de duración evaluado, ver certificado en carpeta de cursos.  Certificado del 30 de agosto.</t>
  </si>
  <si>
    <t>Se tardó dos minutos para la evacuación</t>
  </si>
  <si>
    <t>Reprogramada de 2019</t>
  </si>
  <si>
    <t>Simulacro evacuación</t>
  </si>
  <si>
    <t>Manipulación de pallets Euro cn Autoelevador</t>
  </si>
  <si>
    <t>Silver indutrial</t>
  </si>
  <si>
    <t>Dicimbre 2019</t>
  </si>
  <si>
    <t>Juan José Visentin, Julian Jainowickz</t>
  </si>
  <si>
    <t>Operarios de producción</t>
  </si>
  <si>
    <t>PROGRAMA DE CAPACITACION  2020</t>
  </si>
  <si>
    <t>Objetivos dela empresa, el apéndice C del sistema de gestión</t>
  </si>
  <si>
    <t>Operarios en general</t>
  </si>
  <si>
    <t>Protocolo de higiene y tabajo seguro en panorama de pandemia por Cov-Vid19</t>
  </si>
  <si>
    <t>Juan José Visentin y Alejandro Desbat</t>
  </si>
  <si>
    <t>Personal de producción, control  de calidad, jefatura de producción</t>
  </si>
  <si>
    <t>CUmplida</t>
  </si>
  <si>
    <t>Conductores de autoelevadores que manipulan moldes</t>
  </si>
  <si>
    <t>Atemperadores</t>
  </si>
  <si>
    <t>Cuidados hogareños Covid</t>
  </si>
  <si>
    <t>Guardado seguro de paralelas</t>
  </si>
  <si>
    <t>Visentin Juan José</t>
  </si>
  <si>
    <t>5's, apertura de registros</t>
  </si>
  <si>
    <t>Protocolo Covid-19 2021; medidas de prevención</t>
  </si>
  <si>
    <t>Verificación de efectividad pendiente</t>
  </si>
  <si>
    <t>PROGRAMA DE CAPACITACION  2021</t>
  </si>
  <si>
    <t>X</t>
  </si>
  <si>
    <t>Introducción a los materiales plásticos y programación de modelos de inyectoras de Silver</t>
  </si>
  <si>
    <t>Ian Malicbegovic - Asistente de jefatura de producción</t>
  </si>
  <si>
    <t>Fernando Nieto, Hernán Nieto, Maxi Pardo</t>
  </si>
  <si>
    <t>Juan Visentin</t>
  </si>
  <si>
    <t>Suspendida</t>
  </si>
  <si>
    <t>Conductores de autoelevador</t>
  </si>
  <si>
    <t>Tareas de depósito de MP</t>
  </si>
  <si>
    <t>Tareas de depósito de PT</t>
  </si>
  <si>
    <t>Ariel Rodríguez</t>
  </si>
  <si>
    <t>Ricardo Almirón, Gastón Gil</t>
  </si>
  <si>
    <t>Uso de abrazaderas plásticas</t>
  </si>
  <si>
    <t>Auditor interno sistemas integrados trinorma</t>
  </si>
  <si>
    <t>Capus virtual Iram</t>
  </si>
  <si>
    <t>14/6/2021 (Finalizada en dicha fecha)</t>
  </si>
  <si>
    <t>Plan de contingencia, emergencias ante incendio</t>
  </si>
  <si>
    <t>Protocolo de trabajo seguro</t>
  </si>
  <si>
    <t>Se cambia de capacitación sobre prvención de incendios a ATS por pedido de ART</t>
  </si>
  <si>
    <t>Armado de taras</t>
  </si>
  <si>
    <t>Operarios</t>
  </si>
  <si>
    <t>Silver</t>
  </si>
  <si>
    <t xml:space="preserve">Protocolo de trabajo seguro y acciones inseguras </t>
  </si>
  <si>
    <t>Uso de atemperadores</t>
  </si>
  <si>
    <t>Uso de controladores de colada caliente</t>
  </si>
  <si>
    <t>PROGRAMA DE CAPACITACION  2022</t>
  </si>
  <si>
    <t>Evacuación de incendio y uso de matafuegos.</t>
  </si>
  <si>
    <t>Uso de tester de resistencias</t>
  </si>
  <si>
    <t>Janowikz Julián</t>
  </si>
  <si>
    <t>Meta</t>
  </si>
  <si>
    <t>&gt;80%</t>
  </si>
  <si>
    <t>Proceso de cambio de moldes, instructivo I,11</t>
  </si>
  <si>
    <t>Mariano Canabarro</t>
  </si>
  <si>
    <t>Agregada por gerencia en septiembre del 2022 d</t>
  </si>
  <si>
    <t>A la fecha</t>
  </si>
  <si>
    <t>Acciones inseguras</t>
  </si>
  <si>
    <t>Producción en máquinas destinadas a producto alimenticios y de farma</t>
  </si>
  <si>
    <t>Gestión calidad</t>
  </si>
  <si>
    <t>Operarios  en general</t>
  </si>
  <si>
    <t>Proceso de cambio de moldes, reunión de actualización</t>
  </si>
  <si>
    <t>PROGRAMA DE CAPACITACION  2024</t>
  </si>
  <si>
    <t>Manejo Seguro de Maquinas Inyectoras</t>
  </si>
  <si>
    <t>Diego Ortiz
Mariano Canberro</t>
  </si>
  <si>
    <t>5 s conocimientos basicos y Aplicación</t>
  </si>
  <si>
    <t>Utilizacion e instrucción Kanban</t>
  </si>
  <si>
    <t xml:space="preserve">Diego Ortiz </t>
  </si>
  <si>
    <t>Control calidad
Operarios en General</t>
  </si>
  <si>
    <t>Deposito M P
Deposito P T</t>
  </si>
  <si>
    <t>Ortiz Diego</t>
  </si>
  <si>
    <t>Se adelanta para operarios por NC</t>
  </si>
  <si>
    <t>Operarios Maquina 3</t>
  </si>
  <si>
    <t>Se da Parcial a la mitad del plantel, se identifica en la planilla de registro las fechas del cumplimiento real</t>
  </si>
  <si>
    <t>10/07/24
11/07/24
12/07/24</t>
  </si>
  <si>
    <t>Restan 3 operarios por Suspensión</t>
  </si>
  <si>
    <t>Protocolo de Finalizacion de Produccion</t>
  </si>
  <si>
    <t>Todos los Operadores</t>
  </si>
  <si>
    <t>Navarro, Guillermo, Almiron, Ferreyra, Gil y Rodriguez</t>
  </si>
  <si>
    <t>Toda la Planta</t>
  </si>
  <si>
    <t>Seguridad, Prevencion, acciones inseguras</t>
  </si>
  <si>
    <t>Diego Ortiz</t>
  </si>
  <si>
    <t>Operarios Ingresantes</t>
  </si>
  <si>
    <t>Ingresantes</t>
  </si>
  <si>
    <t>Protocolo de Fin de Produccion</t>
  </si>
  <si>
    <t>Ortiz
Canabarro</t>
  </si>
  <si>
    <t>Personal Especializado</t>
  </si>
  <si>
    <t>Canabarro</t>
  </si>
  <si>
    <t>Personalizado</t>
  </si>
  <si>
    <t>Atemperadores, Controladores, perifericos
Flujograma y proceso</t>
  </si>
  <si>
    <t>Mariano Canabarro
Diego Ortiz</t>
  </si>
  <si>
    <t>Controladores
Atemperadores
Parte II 
(Guia de Soluciones rapidas)</t>
  </si>
  <si>
    <t>Maximiliano Barroso</t>
  </si>
  <si>
    <t>8 cambiadores en total, prioridad primer grupo (4)
Cumplida con 5 Cambiadores</t>
  </si>
  <si>
    <t>PROGRAMA DE CAPACITACION  2025</t>
  </si>
  <si>
    <t>Maximiliano Barroso
Diego Aranguren
Fernando Ferreyra
Alejandro More</t>
  </si>
  <si>
    <t>Curso dictado con nuevo manual proporcionado por Alejandro Desbat</t>
  </si>
  <si>
    <t>PDCA, Criterios de calidad, ciclos de Deming, Calidad Total</t>
  </si>
  <si>
    <t>Inspector Calidad</t>
  </si>
  <si>
    <t>25/8/2025 01/09/25</t>
  </si>
  <si>
    <t>Curso Dictado para Ramon Ortigoza, Pablo Graniera introduciendo teoria de resolucion de problemas</t>
  </si>
  <si>
    <t>PROGRAMA DE CAPACITACION  2026</t>
  </si>
  <si>
    <t>Bonilla</t>
  </si>
  <si>
    <t>Agendada</t>
  </si>
  <si>
    <t>Contexto de la Situacion Actual</t>
  </si>
  <si>
    <t xml:space="preserve">AMENAZAS PARA UNA PYME COMO SILVER: CAIDA DEL CONSUMO, IMPORTACIONES, COMPETENCIA DESLEAL, COSTOS ALTOS, BAJA PRODUCCION </t>
  </si>
  <si>
    <t>Identificacion de Scrap y material sobrante</t>
  </si>
  <si>
    <t>Orden y limpieza, aplicación de 5 S</t>
  </si>
  <si>
    <t xml:space="preserve">Registros de secado y llenado de registros </t>
  </si>
  <si>
    <t>Autocontrol y calidad</t>
  </si>
  <si>
    <t>Especializado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</si>
</sst>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d/m/yy;@"/>
  </numFmts>
  <fonts count="20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b/>
      <sz val="14"/>
      <name val="Arial Black"/>
      <family val="2"/>
    </font>
    <font>
      <sz val="16"/>
      <name val="Arial"/>
      <family val="2"/>
    </font>
    <font>
      <b/>
      <sz val="16"/>
      <name val="Arial"/>
      <family val="2"/>
    </font>
    <font>
      <b/>
      <sz val="11"/>
      <color rgb="FF0000FF"/>
      <name val="Arial"/>
      <family val="2"/>
    </font>
    <font>
      <b/>
      <sz val="10"/>
      <color rgb="FF0000FF"/>
      <name val="Arial"/>
      <family val="2"/>
    </font>
    <font>
      <sz val="24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Border="1"/>
    <xf numFmtId="0" fontId="7" fillId="0" borderId="0" xfId="0" applyFont="1" applyBorder="1"/>
    <xf numFmtId="0" fontId="5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8" fillId="0" borderId="0" xfId="0" applyFont="1" applyBorder="1"/>
    <xf numFmtId="0" fontId="6" fillId="0" borderId="0" xfId="1" applyFont="1"/>
    <xf numFmtId="0" fontId="3" fillId="2" borderId="10" xfId="1" applyFont="1" applyFill="1" applyBorder="1"/>
    <xf numFmtId="0" fontId="9" fillId="2" borderId="3" xfId="1" applyFont="1" applyFill="1" applyBorder="1" applyAlignment="1">
      <alignment horizontal="center" vertical="center"/>
    </xf>
    <xf numFmtId="0" fontId="3" fillId="2" borderId="11" xfId="1" applyFont="1" applyFill="1" applyBorder="1"/>
    <xf numFmtId="0" fontId="3" fillId="0" borderId="12" xfId="1" applyFont="1" applyBorder="1" applyAlignment="1">
      <alignment horizontal="center"/>
    </xf>
    <xf numFmtId="0" fontId="3" fillId="0" borderId="13" xfId="1" applyFont="1" applyBorder="1"/>
    <xf numFmtId="0" fontId="3" fillId="0" borderId="14" xfId="1" applyFont="1" applyBorder="1" applyAlignment="1">
      <alignment horizontal="center"/>
    </xf>
    <xf numFmtId="0" fontId="3" fillId="0" borderId="15" xfId="1" applyFont="1" applyBorder="1"/>
    <xf numFmtId="0" fontId="3" fillId="0" borderId="0" xfId="1" applyFont="1" applyBorder="1"/>
    <xf numFmtId="0" fontId="6" fillId="0" borderId="0" xfId="1" applyFont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3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/>
    <xf numFmtId="0" fontId="3" fillId="0" borderId="1" xfId="1" applyFont="1" applyBorder="1" applyAlignment="1">
      <alignment horizontal="left" vertical="center"/>
    </xf>
    <xf numFmtId="0" fontId="6" fillId="0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/>
    </xf>
    <xf numFmtId="0" fontId="3" fillId="0" borderId="0" xfId="1" applyFont="1" applyAlignment="1">
      <alignment horizontal="center"/>
    </xf>
    <xf numFmtId="0" fontId="6" fillId="0" borderId="1" xfId="1" quotePrefix="1" applyFont="1" applyBorder="1" applyAlignment="1">
      <alignment horizontal="center" vertical="center"/>
    </xf>
    <xf numFmtId="164" fontId="6" fillId="0" borderId="0" xfId="2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4" fontId="17" fillId="0" borderId="0" xfId="1" applyNumberFormat="1" applyFont="1"/>
    <xf numFmtId="0" fontId="6" fillId="0" borderId="1" xfId="1" applyFont="1" applyBorder="1"/>
    <xf numFmtId="164" fontId="6" fillId="0" borderId="0" xfId="2" applyNumberFormat="1" applyFont="1"/>
    <xf numFmtId="0" fontId="6" fillId="0" borderId="8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" xfId="1" quotePrefix="1" applyFont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6" borderId="0" xfId="1" applyFont="1" applyFill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0" xfId="1" applyFont="1" applyAlignment="1">
      <alignment horizontal="left"/>
    </xf>
    <xf numFmtId="164" fontId="11" fillId="7" borderId="0" xfId="2" applyNumberFormat="1" applyFont="1" applyFill="1"/>
    <xf numFmtId="0" fontId="6" fillId="0" borderId="0" xfId="1"/>
    <xf numFmtId="0" fontId="10" fillId="0" borderId="15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17" fontId="3" fillId="0" borderId="2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4" fontId="3" fillId="0" borderId="25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left" vertical="center"/>
    </xf>
    <xf numFmtId="0" fontId="3" fillId="0" borderId="13" xfId="1" applyFont="1" applyFill="1" applyBorder="1"/>
    <xf numFmtId="0" fontId="6" fillId="0" borderId="15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8" fillId="6" borderId="0" xfId="1" applyFont="1" applyFill="1" applyAlignment="1">
      <alignment horizontal="center" vertical="center"/>
    </xf>
    <xf numFmtId="0" fontId="18" fillId="4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9" fontId="7" fillId="0" borderId="0" xfId="2" applyFont="1" applyFill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" fontId="9" fillId="0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17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7" fontId="9" fillId="0" borderId="2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14" fontId="3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7" fontId="3" fillId="11" borderId="2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 wrapText="1"/>
    </xf>
    <xf numFmtId="14" fontId="3" fillId="10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2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 wrapText="1"/>
    </xf>
    <xf numFmtId="17" fontId="3" fillId="10" borderId="29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4" fontId="3" fillId="10" borderId="28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17" fontId="3" fillId="10" borderId="1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14" fontId="3" fillId="0" borderId="2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9" fontId="16" fillId="0" borderId="31" xfId="2" applyFont="1" applyFill="1" applyBorder="1" applyAlignment="1">
      <alignment horizontal="center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 wrapText="1"/>
    </xf>
    <xf numFmtId="17" fontId="3" fillId="9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" xfId="0" applyNumberFormat="1" applyFont="1" applyFill="1" applyBorder="1" applyAlignment="1">
      <alignment horizontal="center" vertical="center"/>
    </xf>
    <xf numFmtId="0" fontId="2" fillId="12" borderId="35" xfId="0" applyFont="1" applyFill="1" applyBorder="1" applyAlignment="1">
      <alignment horizontal="center" vertical="center"/>
    </xf>
    <xf numFmtId="0" fontId="2" fillId="12" borderId="36" xfId="0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0" fontId="2" fillId="12" borderId="38" xfId="0" applyFont="1" applyFill="1" applyBorder="1" applyAlignment="1">
      <alignment horizontal="center" vertical="center"/>
    </xf>
    <xf numFmtId="0" fontId="2" fillId="12" borderId="39" xfId="0" applyFont="1" applyFill="1" applyBorder="1" applyAlignment="1">
      <alignment horizontal="center" vertical="center"/>
    </xf>
    <xf numFmtId="0" fontId="2" fillId="12" borderId="40" xfId="0" applyFont="1" applyFill="1" applyBorder="1" applyAlignment="1">
      <alignment horizontal="center" vertical="center"/>
    </xf>
    <xf numFmtId="14" fontId="14" fillId="13" borderId="41" xfId="0" applyNumberFormat="1" applyFont="1" applyFill="1" applyBorder="1" applyAlignment="1">
      <alignment horizontal="center" vertical="center"/>
    </xf>
    <xf numFmtId="14" fontId="14" fillId="13" borderId="42" xfId="0" applyNumberFormat="1" applyFont="1" applyFill="1" applyBorder="1" applyAlignment="1">
      <alignment horizontal="center" vertical="center"/>
    </xf>
    <xf numFmtId="0" fontId="19" fillId="14" borderId="33" xfId="0" applyFont="1" applyFill="1" applyBorder="1" applyAlignment="1">
      <alignment horizontal="center" vertical="center"/>
    </xf>
    <xf numFmtId="0" fontId="19" fillId="14" borderId="43" xfId="0" applyFont="1" applyFill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41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4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0" borderId="28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7" fontId="3" fillId="10" borderId="28" xfId="0" applyNumberFormat="1" applyFont="1" applyFill="1" applyBorder="1" applyAlignment="1">
      <alignment horizontal="center" vertical="center"/>
    </xf>
    <xf numFmtId="17" fontId="3" fillId="10" borderId="2" xfId="0" applyNumberFormat="1" applyFont="1" applyFill="1" applyBorder="1" applyAlignment="1">
      <alignment horizontal="center" vertical="center"/>
    </xf>
    <xf numFmtId="0" fontId="3" fillId="10" borderId="48" xfId="0" applyFont="1" applyFill="1" applyBorder="1" applyAlignment="1">
      <alignment horizontal="center" vertical="center" wrapText="1"/>
    </xf>
    <xf numFmtId="14" fontId="3" fillId="10" borderId="28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orcentaje" xfId="2" builtinId="5"/>
  </cellStyles>
  <dxfs count="11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</font>
      <fill>
        <patternFill>
          <bgColor theme="6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</font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28575</xdr:rowOff>
    </xdr:from>
    <xdr:to>
      <xdr:col>2</xdr:col>
      <xdr:colOff>95250</xdr:colOff>
      <xdr:row>2</xdr:row>
      <xdr:rowOff>409575</xdr:rowOff>
    </xdr:to>
    <xdr:sp macro="" textlink="">
      <xdr:nvSpPr>
        <xdr:cNvPr id="2" name="AutoShape 4"/>
        <xdr:cNvSpPr>
          <a:spLocks noChangeArrowheads="1"/>
        </xdr:cNvSpPr>
      </xdr:nvSpPr>
      <xdr:spPr bwMode="auto">
        <a:xfrm>
          <a:off x="123825" y="200025"/>
          <a:ext cx="1371600" cy="542925"/>
        </a:xfrm>
        <a:prstGeom prst="roundRect">
          <a:avLst>
            <a:gd name="adj" fmla="val 16667"/>
          </a:avLst>
        </a:prstGeom>
        <a:solidFill>
          <a:srgbClr val="FFFFFF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200025</xdr:colOff>
      <xdr:row>1</xdr:row>
      <xdr:rowOff>44860</xdr:rowOff>
    </xdr:from>
    <xdr:to>
      <xdr:col>1</xdr:col>
      <xdr:colOff>1209675</xdr:colOff>
      <xdr:row>2</xdr:row>
      <xdr:rowOff>371475</xdr:rowOff>
    </xdr:to>
    <xdr:pic>
      <xdr:nvPicPr>
        <xdr:cNvPr id="3" name="Picture 243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16310"/>
          <a:ext cx="1009650" cy="488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76200</xdr:colOff>
      <xdr:row>1</xdr:row>
      <xdr:rowOff>28575</xdr:rowOff>
    </xdr:from>
    <xdr:to>
      <xdr:col>11</xdr:col>
      <xdr:colOff>0</xdr:colOff>
      <xdr:row>3</xdr:row>
      <xdr:rowOff>0</xdr:rowOff>
    </xdr:to>
    <xdr:grpSp>
      <xdr:nvGrpSpPr>
        <xdr:cNvPr id="4" name="6 Grupo"/>
        <xdr:cNvGrpSpPr>
          <a:grpSpLocks/>
        </xdr:cNvGrpSpPr>
      </xdr:nvGrpSpPr>
      <xdr:grpSpPr bwMode="auto">
        <a:xfrm>
          <a:off x="10039350" y="200025"/>
          <a:ext cx="1619250" cy="581025"/>
          <a:chOff x="10039350" y="200026"/>
          <a:chExt cx="1581150" cy="533400"/>
        </a:xfrm>
      </xdr:grpSpPr>
      <xdr:sp macro="" textlink="">
        <xdr:nvSpPr>
          <xdr:cNvPr id="5" name="AutoShape 3"/>
          <xdr:cNvSpPr>
            <a:spLocks noChangeArrowheads="1"/>
          </xdr:cNvSpPr>
        </xdr:nvSpPr>
        <xdr:spPr bwMode="auto">
          <a:xfrm>
            <a:off x="10039350" y="200026"/>
            <a:ext cx="1581150" cy="533400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1587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s-ES_tradnl" sz="1000" b="0" i="0" strike="noStrike">
                <a:solidFill>
                  <a:srgbClr val="000000"/>
                </a:solidFill>
                <a:latin typeface="Arial"/>
                <a:cs typeface="Arial"/>
              </a:rPr>
              <a:t>     FECHA: 16/01/12</a:t>
            </a:r>
            <a:endParaRPr lang="es-ES_tradnl" sz="14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s-ES_tradnl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r>
              <a:rPr lang="es-ES_tradnl" sz="1000" b="0" i="0" strike="noStrike">
                <a:solidFill>
                  <a:srgbClr val="000000"/>
                </a:solidFill>
                <a:latin typeface="Arial"/>
                <a:cs typeface="Arial"/>
              </a:rPr>
              <a:t>REV:</a:t>
            </a:r>
            <a:r>
              <a:rPr lang="es-ES_tradnl" sz="10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 2</a:t>
            </a:r>
            <a:r>
              <a:rPr lang="es-ES_tradnl" sz="1000" b="0" i="0" strike="noStrike">
                <a:solidFill>
                  <a:srgbClr val="000000"/>
                </a:solidFill>
                <a:latin typeface="Arial"/>
                <a:cs typeface="Arial"/>
              </a:rPr>
              <a:t>          COD: A.18</a:t>
            </a:r>
          </a:p>
        </xdr:txBody>
      </xdr:sp>
      <xdr:sp macro="" textlink="">
        <xdr:nvSpPr>
          <xdr:cNvPr id="6" name="Line 15"/>
          <xdr:cNvSpPr>
            <a:spLocks noChangeShapeType="1"/>
          </xdr:cNvSpPr>
        </xdr:nvSpPr>
        <xdr:spPr bwMode="auto">
          <a:xfrm>
            <a:off x="10039350" y="447675"/>
            <a:ext cx="1581150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7" name="6 Conector recto"/>
          <xdr:cNvCxnSpPr/>
        </xdr:nvCxnSpPr>
        <xdr:spPr>
          <a:xfrm rot="5400000">
            <a:off x="10559804" y="584774"/>
            <a:ext cx="279816" cy="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K22"/>
  <sheetViews>
    <sheetView workbookViewId="0">
      <selection activeCell="B5" sqref="B5"/>
    </sheetView>
  </sheetViews>
  <sheetFormatPr baseColWidth="10" defaultRowHeight="12.75" x14ac:dyDescent="0.2"/>
  <cols>
    <col min="1" max="1" width="1.42578125" customWidth="1"/>
    <col min="2" max="2" width="19.5703125" customWidth="1"/>
    <col min="3" max="3" width="14" customWidth="1"/>
    <col min="4" max="4" width="8.28515625" customWidth="1"/>
    <col min="5" max="5" width="9" customWidth="1"/>
    <col min="6" max="6" width="20.140625" customWidth="1"/>
    <col min="7" max="7" width="18.140625" customWidth="1"/>
    <col min="8" max="8" width="24.42578125" customWidth="1"/>
    <col min="9" max="9" width="18" customWidth="1"/>
    <col min="10" max="10" width="16.42578125" customWidth="1"/>
    <col min="11" max="11" width="25.42578125" customWidth="1"/>
  </cols>
  <sheetData>
    <row r="1" ht="13.5" thickBot="1" x14ac:dyDescent="0.25"/>
    <row r="2" x14ac:dyDescent="0.2">
      <c r="B2" s="195" t="inlineStr">
        <is>
          <t xml:space="preserve">PROGRAMA DE CAPACITACION  {ANIO}</t>
        </is>
      </c>
      <c r="C2" s="196"/>
      <c r="D2" s="196"/>
      <c r="E2" s="196"/>
      <c r="F2" s="196"/>
      <c r="G2" s="196"/>
      <c r="H2" s="196"/>
      <c r="I2" s="196"/>
      <c r="J2" s="196"/>
      <c r="K2" s="197"/>
    </row>
    <row r="3" ht="35.25" customHeight="1" thickBot="1" x14ac:dyDescent="0.25">
      <c r="B3" s="198"/>
      <c r="C3" s="199"/>
      <c r="D3" s="199"/>
      <c r="E3" s="199"/>
      <c r="F3" s="199"/>
      <c r="G3" s="199"/>
      <c r="H3" s="199"/>
      <c r="I3" s="199"/>
      <c r="J3" s="199"/>
      <c r="K3" s="200"/>
    </row>
    <row r="4" ht="28.5" customHeight="1" thickBot="1" x14ac:dyDescent="0.25">
      <c r="B4" s="12" t="s">
        <v>4</v>
      </c>
      <c r="C4" s="13" t="s">
        <v>6</v>
      </c>
      <c r="D4" s="14" t="s">
        <v>0</v>
      </c>
      <c r="E4" s="14" t="s">
        <v>1</v>
      </c>
      <c r="F4" s="13" t="s">
        <v>7</v>
      </c>
      <c r="G4" s="13" t="s">
        <v>8</v>
      </c>
      <c r="H4" s="14" t="s">
        <v>2</v>
      </c>
      <c r="I4" s="14" t="s">
        <v>3</v>
      </c>
      <c r="J4" s="14" t="s">
        <v>15</v>
      </c>
      <c r="K4" s="15" t="s">
        <v>9</v>
      </c>
    </row>
    <!--DATA-->
    <row r="16" ht="9" customHeight="1" thickBot="1" x14ac:dyDescent="0.25">
      <c r="B16" s="192"/>
      <c r="C16" s="192"/>
      <c r="D16" s="192"/>
      <c r="E16" s="192"/>
      <c r="F16" s="192"/>
      <c r="G16" s="192"/>
      <c r="H16" s="192"/>
      <c r="I16" s="192"/>
      <c r="J16" s="192"/>
      <c r="K16" s="8"/>
    </row>
    <row r="17" ht="21.75" thickTop="1" thickBot="1" x14ac:dyDescent="0.25">
      <c r="B17" s="188" t="s">
        <v>153</v>
      </c>
      <c r="C17" s="186">
        <f>COUNTIF(I5:I15,"CUMPLIDA")</f>
        <v>7</v>
      </c>
      <c r="D17" s="203" t="str">
        <f>IF(C19&gt;=90%,"Meta cumplida","")</f>
        <v/>
      </c>
      <c r="E17" s="204"/>
      <c r="F17" s="205"/>
      <c r="G17" s="192"/>
      <c r="H17" s="192"/>
      <c r="I17" s="192"/>
      <c r="J17" s="192"/>
      <c r="K17" s="8"/>
    </row>
    <row r="18" ht="21" thickBot="1" x14ac:dyDescent="0.25">
      <c r="B18" s="189" t="s">
        <v>152</v>
      </c>
      <c r="C18" s="187">
        <f>COUNTA(B5:B15)</f>
        <v>8</v>
      </c>
      <c r="D18" s="206"/>
      <c r="E18" s="207"/>
      <c r="F18" s="208"/>
      <c r="G18" s="192"/>
      <c r="H18" s="192"/>
      <c r="I18" s="192"/>
      <c r="J18" s="192"/>
      <c r="K18" s="8"/>
    </row>
    <row r="19" ht="21" thickBot="1" x14ac:dyDescent="0.25">
      <c r="B19" s="189" t="s">
        <v>154</v>
      </c>
      <c r="C19" s="185">
        <f>+C17/C18</f>
        <v>0.875</v>
      </c>
      <c r="D19" s="206"/>
      <c r="E19" s="207"/>
      <c r="F19" s="208"/>
      <c r="G19" s="192"/>
      <c r="H19" s="192"/>
      <c r="I19" s="192"/>
      <c r="J19" s="192"/>
      <c r="K19" s="8"/>
    </row>
    <row r="20" ht="21" thickBot="1" x14ac:dyDescent="0.25">
      <c r="B20" s="189" t="s">
        <v>294</v>
      </c>
      <c r="C20" s="187" t="inlineStr">
        <is>
          <t>&gt;90%</t>
        </is>
      </c>
      <c r="D20" s="206"/>
      <c r="E20" s="207"/>
      <c r="F20" s="208"/>
      <c r="G20" s="192"/>
      <c r="H20" s="192"/>
      <c r="I20" s="192"/>
      <c r="J20" s="192"/>
      <c r="K20" s="8"/>
    </row>
    <row r="21" ht="23.25" thickBot="1" x14ac:dyDescent="0.25">
      <c r="B21" s="201">
        <f ca="1">TODAY()</f>
        <v>46305</v>
      </c>
      <c r="C21" s="202"/>
      <c r="D21" s="209"/>
      <c r="E21" s="210"/>
      <c r="F21" s="211"/>
      <c r="G21" s="192"/>
      <c r="H21" s="192"/>
      <c r="I21" s="192"/>
      <c r="J21" s="192"/>
      <c r="K21" s="8"/>
    </row>
    <row r="22" ht="15.75" thickTop="1" x14ac:dyDescent="0.2">
      <c r="B22" s="192"/>
      <c r="C22" s="192"/>
      <c r="D22" s="192"/>
      <c r="E22" s="192"/>
      <c r="F22" s="192"/>
      <c r="G22" s="192"/>
      <c r="H22" s="192"/>
      <c r="I22" s="192"/>
      <c r="J22" s="192"/>
      <c r="K22" s="8"/>
    </row>
  </sheetData>
  <mergeCells count="3">
    <mergeCell ref="B2:K3"/>
    <mergeCell ref="D17:F21"/>
    <mergeCell ref="B21:C21"/>
  </mergeCells>
  <conditionalFormatting sqref="I1:I65533">
    <cfRule type="containsText" dxfId="10" priority="4" stopIfTrue="1" operator="containsText" text="cumplida">
      <formula>NOT(ISERROR(SEARCH("cumplida",I1)))</formula>
    </cfRule>
  </conditionalFormatting>
  <conditionalFormatting sqref="C19">
    <cfRule type="cellIs" dxfId="9" priority="1" stopIfTrue="1" operator="lessThanOrEqual">
      <formula>0.4</formula>
    </cfRule>
    <cfRule type="cellIs" dxfId="8" priority="2" stopIfTrue="1" operator="between">
      <formula>0.9</formula>
      <formula>0.4</formula>
    </cfRule>
    <cfRule type="cellIs" dxfId="7" priority="3" stopIfTrue="1" operator="greaterThanOrEqual">
      <formula>0.9</formula>
    </cfRule>
  </conditionalFormatting>
  <pageMargins left="0.7" right="0.7" top="0.75" bottom="0.75" header="0.3" footer="0.3"/>
  <pageSetup paperSize="9" orientation="landscape" fitToHeight="0"/>
  <drawing r:id="rId2"/>
</worksheet>
</file>